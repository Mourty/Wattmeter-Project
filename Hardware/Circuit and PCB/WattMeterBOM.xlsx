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College_Classwork\SIU\EET_495B\WattMeter Public\Hardware\Circuit and PCB\"/>
    </mc:Choice>
  </mc:AlternateContent>
  <xr:revisionPtr revIDLastSave="0" documentId="8_{342D3F4F-BCAF-4E50-8F82-CFB8F6123180}" xr6:coauthVersionLast="47" xr6:coauthVersionMax="47" xr10:uidLastSave="{00000000-0000-0000-0000-000000000000}"/>
  <bookViews>
    <workbookView xWindow="5940" yWindow="1790" windowWidth="28800" windowHeight="15470"/>
  </bookViews>
  <sheets>
    <sheet name="WattMeter" sheetId="1" r:id="rId1"/>
  </sheets>
  <calcPr calcId="0"/>
</workbook>
</file>

<file path=xl/calcChain.xml><?xml version="1.0" encoding="utf-8"?>
<calcChain xmlns="http://schemas.openxmlformats.org/spreadsheetml/2006/main">
  <c r="H62" i="1" l="1"/>
</calcChain>
</file>

<file path=xl/sharedStrings.xml><?xml version="1.0" encoding="utf-8"?>
<sst xmlns="http://schemas.openxmlformats.org/spreadsheetml/2006/main" count="189" uniqueCount="174">
  <si>
    <t>Reference</t>
  </si>
  <si>
    <t>Qty</t>
  </si>
  <si>
    <t>Value</t>
  </si>
  <si>
    <t>Mouser#</t>
  </si>
  <si>
    <t>Digikey#</t>
  </si>
  <si>
    <t>Amazon Link</t>
  </si>
  <si>
    <t>Price/unit</t>
  </si>
  <si>
    <t>Line Price</t>
  </si>
  <si>
    <t>BT1</t>
  </si>
  <si>
    <t>CR1220</t>
  </si>
  <si>
    <t>737-BH-127A-1</t>
  </si>
  <si>
    <t>C12,C13,C15</t>
  </si>
  <si>
    <t>10uF</t>
  </si>
  <si>
    <t>810-FG18X5R1E106MR00</t>
  </si>
  <si>
    <t>C16</t>
  </si>
  <si>
    <t>4.7uF</t>
  </si>
  <si>
    <t xml:space="preserve">810-FG28X5R1E475KRT6 </t>
  </si>
  <si>
    <t>C2</t>
  </si>
  <si>
    <t>581-TAP226K035CCS</t>
  </si>
  <si>
    <t>C21,C22</t>
  </si>
  <si>
    <t>0.33uF</t>
  </si>
  <si>
    <t>810-FG18X7R1H334KRT6</t>
  </si>
  <si>
    <t>C23,C24</t>
  </si>
  <si>
    <t>18nF</t>
  </si>
  <si>
    <t>594-K183K10X7RF53H5</t>
  </si>
  <si>
    <t>C3</t>
  </si>
  <si>
    <t>39pF</t>
  </si>
  <si>
    <t>80-C317C390J2G</t>
  </si>
  <si>
    <t>C4</t>
  </si>
  <si>
    <t>100nF</t>
  </si>
  <si>
    <t xml:space="preserve">594-K104K15X7RF53L2 </t>
  </si>
  <si>
    <t>C5</t>
  </si>
  <si>
    <t xml:space="preserve">581-TAP686K025CCS </t>
  </si>
  <si>
    <t>C6</t>
  </si>
  <si>
    <t>6F 6V</t>
  </si>
  <si>
    <t xml:space="preserve">815-ADCMS06R0SA605RB </t>
  </si>
  <si>
    <t>C7,C8,C9,C10</t>
  </si>
  <si>
    <t>0.1uF</t>
  </si>
  <si>
    <t xml:space="preserve">594-K104K15X7RF5WH5 </t>
  </si>
  <si>
    <t>D1,D2,D3</t>
  </si>
  <si>
    <t>1N5822 Schottky</t>
  </si>
  <si>
    <t>511-1N5822</t>
  </si>
  <si>
    <t>D4</t>
  </si>
  <si>
    <t>1N4734A 5.6V</t>
  </si>
  <si>
    <t>78-1N4734A</t>
  </si>
  <si>
    <t>D5</t>
  </si>
  <si>
    <t>VCC LED</t>
  </si>
  <si>
    <t xml:space="preserve">859-LTL-4213 </t>
  </si>
  <si>
    <t>D6</t>
  </si>
  <si>
    <t>PSU LED</t>
  </si>
  <si>
    <t>F1</t>
  </si>
  <si>
    <t>100mA 250V</t>
  </si>
  <si>
    <t>576-0313.100MXP</t>
  </si>
  <si>
    <t>F2</t>
  </si>
  <si>
    <t>693-0034.7105</t>
  </si>
  <si>
    <t>F3</t>
  </si>
  <si>
    <t>250mA 250V</t>
  </si>
  <si>
    <t xml:space="preserve">576-0313.250HXP </t>
  </si>
  <si>
    <t>F4</t>
  </si>
  <si>
    <t>1.5A 250V</t>
  </si>
  <si>
    <t>https://www.amazon.com/dp/B07MCHQQ7Z?ref=ppx_yo2ov_dt_b_fed_asin_title&amp;th=1</t>
  </si>
  <si>
    <t>IC1</t>
  </si>
  <si>
    <t>ATM90E32AS-AU-R</t>
  </si>
  <si>
    <t>556-ATM90E32AS-AU-R</t>
  </si>
  <si>
    <t>IC2</t>
  </si>
  <si>
    <t>LM2621MMX_NOPB</t>
  </si>
  <si>
    <t>926-LM2621MMX/NOPB</t>
  </si>
  <si>
    <t>J1</t>
  </si>
  <si>
    <t>LCD Pins</t>
  </si>
  <si>
    <t xml:space="preserve">910-HDR100IMP40MGVTH </t>
  </si>
  <si>
    <t>J10</t>
  </si>
  <si>
    <t>I2 Use/GND</t>
  </si>
  <si>
    <t>J11</t>
  </si>
  <si>
    <t>Input</t>
  </si>
  <si>
    <t xml:space="preserve">490-TB005-762-02BE </t>
  </si>
  <si>
    <t>J12</t>
  </si>
  <si>
    <t>V3 Use/GND</t>
  </si>
  <si>
    <t>J13</t>
  </si>
  <si>
    <t>I1</t>
  </si>
  <si>
    <t>J14,J15</t>
  </si>
  <si>
    <t>Series/Para</t>
  </si>
  <si>
    <t>J16</t>
  </si>
  <si>
    <t>V2 Use/GND</t>
  </si>
  <si>
    <t>J17</t>
  </si>
  <si>
    <t>V1</t>
  </si>
  <si>
    <t>J18</t>
  </si>
  <si>
    <t>VCC Pins</t>
  </si>
  <si>
    <t>J19</t>
  </si>
  <si>
    <t>Boost Input</t>
  </si>
  <si>
    <t>J2</t>
  </si>
  <si>
    <t>Button Pins</t>
  </si>
  <si>
    <t>J3</t>
  </si>
  <si>
    <t>GSD09002SEU</t>
  </si>
  <si>
    <t>523-GSD09002SEU</t>
  </si>
  <si>
    <t>J4</t>
  </si>
  <si>
    <t>Extras</t>
  </si>
  <si>
    <t>J5</t>
  </si>
  <si>
    <t>SPI ATM90</t>
  </si>
  <si>
    <t>J9</t>
  </si>
  <si>
    <t>I3 Use/GND</t>
  </si>
  <si>
    <t>L1</t>
  </si>
  <si>
    <t xml:space="preserve">994-RFS1113-682ME </t>
  </si>
  <si>
    <t>N1</t>
  </si>
  <si>
    <t>Housing</t>
  </si>
  <si>
    <t xml:space="preserve">546-1591XXFBK </t>
  </si>
  <si>
    <t>P1</t>
  </si>
  <si>
    <t>Nema 5-15-P</t>
  </si>
  <si>
    <t>https://www.amazon.com/Leviton-515PR-Straight-Blade-Rubber/dp/B000FKBZ7M?pd_rd_w=92vxs&amp;content-id=amzn1.sym.679481c3-2bf4-4843-80c0-ffb319282e84%3Aamzn1.symc.c3d5766d-b606-46b8-ab07-1d9d1da0638a&amp;pf_rd_p=679481c3-2bf4-4843-80c0-ffb319282e84&amp;pf_rd_r=R7Q2YB8DESH6G7Y65X8C&amp;pd_rd_wg=RpaUM&amp;pd_rd_r=a6ef13e9-6e0e-4ec6-a707-03cf83fd6e38&amp;pd_rd_i=B000FKBZ7M</t>
  </si>
  <si>
    <t>P2</t>
  </si>
  <si>
    <t>Nema 5-15-R</t>
  </si>
  <si>
    <t>https://www.amazon.com/dp/B0BMV8DSM1?ref=ppx_yo2ov_dt_b_fed_asin_title</t>
  </si>
  <si>
    <t>PS1</t>
  </si>
  <si>
    <t>RAC10E-05SK_277</t>
  </si>
  <si>
    <t>919-RAC10E-05SK/277</t>
  </si>
  <si>
    <t>R1,R2,R4,R7</t>
  </si>
  <si>
    <t xml:space="preserve">603-MFR-25FTE52-10K </t>
  </si>
  <si>
    <t>R10,R11</t>
  </si>
  <si>
    <t>MFR-25FBF52-100R</t>
  </si>
  <si>
    <t>R12,R13</t>
  </si>
  <si>
    <t xml:space="preserve">603-MFR-25FBF52-5K1 </t>
  </si>
  <si>
    <t>R14,R18</t>
  </si>
  <si>
    <t xml:space="preserve">603-MFR-25FBF52-1K </t>
  </si>
  <si>
    <t>R19</t>
  </si>
  <si>
    <t xml:space="preserve">603-MFR-25FBF52-24K </t>
  </si>
  <si>
    <t>R3</t>
  </si>
  <si>
    <t xml:space="preserve">603-MFR-25FBF52-200K </t>
  </si>
  <si>
    <t>R5</t>
  </si>
  <si>
    <t>603-MFR-25FBF52-499R</t>
  </si>
  <si>
    <t>R6</t>
  </si>
  <si>
    <t>603-MFR-25FBF52-12K</t>
  </si>
  <si>
    <t>R8</t>
  </si>
  <si>
    <t>588-WNC25RFET</t>
  </si>
  <si>
    <t>R9</t>
  </si>
  <si>
    <t xml:space="preserve">603-MFR-25FBF52-30R </t>
  </si>
  <si>
    <t>RV1</t>
  </si>
  <si>
    <t>130VAC</t>
  </si>
  <si>
    <t xml:space="preserve">576-V07E130P </t>
  </si>
  <si>
    <t>RV2</t>
  </si>
  <si>
    <t>Vout Trimmer</t>
  </si>
  <si>
    <t xml:space="preserve">81-PV36W204C01B00 </t>
  </si>
  <si>
    <t>T1</t>
  </si>
  <si>
    <t>CT1020</t>
  </si>
  <si>
    <t>419-CT1020-ND</t>
  </si>
  <si>
    <t>T4</t>
  </si>
  <si>
    <t>10 to 1</t>
  </si>
  <si>
    <t xml:space="preserve">838-3FD-224 </t>
  </si>
  <si>
    <t>U1</t>
  </si>
  <si>
    <t>ESP32-C6-DEVKITC-1-N8</t>
  </si>
  <si>
    <t>356-ESP32C6DKC1N8</t>
  </si>
  <si>
    <t>U2</t>
  </si>
  <si>
    <t>~</t>
  </si>
  <si>
    <t>https://www.amazon.com/dp/B0C1G9GBRZ?ref=ppx_yo2ov_dt_b_fed_asin_title&amp;th=1</t>
  </si>
  <si>
    <t>U3</t>
  </si>
  <si>
    <t>PCF8523T/1_118</t>
  </si>
  <si>
    <t>568-5306-1-ND</t>
  </si>
  <si>
    <t>Y1</t>
  </si>
  <si>
    <t>16.384MHz</t>
  </si>
  <si>
    <t>815-ABL-16.384-B2</t>
  </si>
  <si>
    <t>Y2</t>
  </si>
  <si>
    <t>32.768kHz</t>
  </si>
  <si>
    <t>Total</t>
  </si>
  <si>
    <t>30Ω</t>
  </si>
  <si>
    <t>25Ω 2W</t>
  </si>
  <si>
    <t>12kΩ</t>
  </si>
  <si>
    <t>499Ω</t>
  </si>
  <si>
    <t>200kΩ</t>
  </si>
  <si>
    <t>24kΩ</t>
  </si>
  <si>
    <t>1kΩ</t>
  </si>
  <si>
    <t>5.1kΩ</t>
  </si>
  <si>
    <t>100Ω</t>
  </si>
  <si>
    <t>10kΩ</t>
  </si>
  <si>
    <t>6.8μH</t>
  </si>
  <si>
    <t>68μF</t>
  </si>
  <si>
    <t>22μF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</si>
</sst>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2" totalsRowCount="1">
  <autoFilter ref="A1:H61"/>
  <tableColumns count="8">
    <tableColumn id="1" name="Reference" totalsRowLabel="Total"/>
    <tableColumn id="2" name="Qty"/>
    <tableColumn id="3" name="Value"/>
    <tableColumn id="4" name="Mouser#"/>
    <tableColumn id="5" name="Digikey#"/>
    <tableColumn id="6" name="Amazon Link"/>
    <tableColumn id="7" name="Price/unit"/>
    <tableColumn id="8" name="Line 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topLeftCell="A28" workbookViewId="0">
      <selection activeCell="M39" sqref="M39"/>
    </sheetView>
  </sheetViews>
  <sheetFormatPr defaultRowHeight="14.5" x14ac:dyDescent="0.35"/>
  <cols>
    <col min="1" max="1" width="11.1796875" customWidth="1"/>
    <col min="2" max="2" width="10.54296875" customWidth="1"/>
    <col min="3" max="3" width="23.36328125" customWidth="1"/>
    <col min="4" max="4" width="24.453125" customWidth="1"/>
    <col min="5" max="5" width="17.54296875" customWidth="1"/>
    <col min="6" max="6" width="13.453125" customWidth="1"/>
    <col min="7" max="7" width="11.08984375" customWidth="1"/>
    <col min="8" max="8" width="10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 t="s">
        <v>9</v>
      </c>
      <c r="D2" t="s">
        <v>10</v>
      </c>
      <c r="G2">
        <v>0.3</v>
      </c>
      <c r="H2">
        <v>0.3</v>
      </c>
    </row>
    <row r="3" spans="1:8" x14ac:dyDescent="0.35">
      <c r="A3" t="s">
        <v>11</v>
      </c>
      <c r="B3">
        <v>3</v>
      </c>
      <c r="C3" t="s">
        <v>12</v>
      </c>
      <c r="D3" t="s">
        <v>13</v>
      </c>
      <c r="G3">
        <v>0.27800000000000002</v>
      </c>
      <c r="H3">
        <v>0.83399999999999996</v>
      </c>
    </row>
    <row r="4" spans="1:8" x14ac:dyDescent="0.35">
      <c r="A4" t="s">
        <v>14</v>
      </c>
      <c r="B4">
        <v>1</v>
      </c>
      <c r="C4" t="s">
        <v>15</v>
      </c>
      <c r="D4" t="s">
        <v>16</v>
      </c>
      <c r="G4">
        <v>0.22</v>
      </c>
      <c r="H4">
        <v>0.22</v>
      </c>
    </row>
    <row r="5" spans="1:8" x14ac:dyDescent="0.35">
      <c r="A5" t="s">
        <v>17</v>
      </c>
      <c r="B5">
        <v>1</v>
      </c>
      <c r="C5" t="s">
        <v>173</v>
      </c>
      <c r="D5" t="s">
        <v>18</v>
      </c>
      <c r="G5">
        <v>1.05</v>
      </c>
      <c r="H5">
        <v>1.05</v>
      </c>
    </row>
    <row r="6" spans="1:8" x14ac:dyDescent="0.35">
      <c r="A6" t="s">
        <v>19</v>
      </c>
      <c r="B6">
        <v>2</v>
      </c>
      <c r="C6" t="s">
        <v>20</v>
      </c>
      <c r="D6" t="s">
        <v>21</v>
      </c>
      <c r="G6">
        <v>0.115</v>
      </c>
      <c r="H6">
        <v>0.23</v>
      </c>
    </row>
    <row r="7" spans="1:8" x14ac:dyDescent="0.35">
      <c r="A7" t="s">
        <v>22</v>
      </c>
      <c r="B7">
        <v>2</v>
      </c>
      <c r="C7" t="s">
        <v>23</v>
      </c>
      <c r="D7" t="s">
        <v>24</v>
      </c>
      <c r="G7">
        <v>0.121</v>
      </c>
      <c r="H7">
        <v>0.24199999999999999</v>
      </c>
    </row>
    <row r="8" spans="1:8" x14ac:dyDescent="0.35">
      <c r="A8" t="s">
        <v>25</v>
      </c>
      <c r="B8">
        <v>1</v>
      </c>
      <c r="C8" t="s">
        <v>26</v>
      </c>
      <c r="D8" t="s">
        <v>27</v>
      </c>
      <c r="G8">
        <v>0.12</v>
      </c>
      <c r="H8">
        <v>0.12</v>
      </c>
    </row>
    <row r="9" spans="1:8" x14ac:dyDescent="0.35">
      <c r="A9" t="s">
        <v>28</v>
      </c>
      <c r="B9">
        <v>1</v>
      </c>
      <c r="C9" t="s">
        <v>29</v>
      </c>
      <c r="D9" t="s">
        <v>30</v>
      </c>
      <c r="G9">
        <v>0.106</v>
      </c>
      <c r="H9">
        <v>0.106</v>
      </c>
    </row>
    <row r="10" spans="1:8" x14ac:dyDescent="0.35">
      <c r="A10" t="s">
        <v>31</v>
      </c>
      <c r="B10">
        <v>1</v>
      </c>
      <c r="C10" t="s">
        <v>172</v>
      </c>
      <c r="D10" t="s">
        <v>32</v>
      </c>
      <c r="G10">
        <v>2.1800000000000002</v>
      </c>
      <c r="H10">
        <v>2.1800000000000002</v>
      </c>
    </row>
    <row r="11" spans="1:8" x14ac:dyDescent="0.35">
      <c r="A11" t="s">
        <v>33</v>
      </c>
      <c r="B11">
        <v>1</v>
      </c>
      <c r="C11" t="s">
        <v>34</v>
      </c>
      <c r="D11" t="s">
        <v>35</v>
      </c>
      <c r="G11">
        <v>5.51</v>
      </c>
      <c r="H11">
        <v>5.51</v>
      </c>
    </row>
    <row r="12" spans="1:8" x14ac:dyDescent="0.35">
      <c r="A12" t="s">
        <v>36</v>
      </c>
      <c r="B12">
        <v>4</v>
      </c>
      <c r="C12" t="s">
        <v>37</v>
      </c>
      <c r="D12" t="s">
        <v>38</v>
      </c>
      <c r="G12">
        <v>8.8999999999999996E-2</v>
      </c>
      <c r="H12">
        <v>0.35599999999999998</v>
      </c>
    </row>
    <row r="13" spans="1:8" x14ac:dyDescent="0.35">
      <c r="A13" t="s">
        <v>39</v>
      </c>
      <c r="B13">
        <v>3</v>
      </c>
      <c r="C13" t="s">
        <v>40</v>
      </c>
      <c r="D13" t="s">
        <v>41</v>
      </c>
      <c r="G13">
        <v>0.28000000000000003</v>
      </c>
      <c r="H13">
        <v>0.84</v>
      </c>
    </row>
    <row r="14" spans="1:8" x14ac:dyDescent="0.35">
      <c r="A14" t="s">
        <v>42</v>
      </c>
      <c r="B14">
        <v>1</v>
      </c>
      <c r="C14" t="s">
        <v>43</v>
      </c>
      <c r="D14" t="s">
        <v>44</v>
      </c>
      <c r="G14">
        <v>5.1999999999999998E-2</v>
      </c>
      <c r="H14">
        <v>5.1999999999999998E-2</v>
      </c>
    </row>
    <row r="15" spans="1:8" x14ac:dyDescent="0.35">
      <c r="A15" t="s">
        <v>45</v>
      </c>
      <c r="B15">
        <v>1</v>
      </c>
      <c r="C15" t="s">
        <v>46</v>
      </c>
      <c r="D15" t="s">
        <v>47</v>
      </c>
      <c r="G15">
        <v>8.7999999999999995E-2</v>
      </c>
      <c r="H15">
        <v>8.7999999999999995E-2</v>
      </c>
    </row>
    <row r="16" spans="1:8" x14ac:dyDescent="0.35">
      <c r="A16" t="s">
        <v>48</v>
      </c>
      <c r="B16">
        <v>1</v>
      </c>
      <c r="C16" t="s">
        <v>49</v>
      </c>
      <c r="D16" t="s">
        <v>47</v>
      </c>
      <c r="G16">
        <v>8.7999999999999995E-2</v>
      </c>
      <c r="H16">
        <v>8.7999999999999995E-2</v>
      </c>
    </row>
    <row r="17" spans="1:8" x14ac:dyDescent="0.35">
      <c r="A17" t="s">
        <v>50</v>
      </c>
      <c r="B17">
        <v>1</v>
      </c>
      <c r="C17" t="s">
        <v>51</v>
      </c>
      <c r="D17" t="s">
        <v>52</v>
      </c>
      <c r="G17">
        <v>2.29</v>
      </c>
      <c r="H17">
        <v>2.29</v>
      </c>
    </row>
    <row r="18" spans="1:8" x14ac:dyDescent="0.35">
      <c r="A18" t="s">
        <v>53</v>
      </c>
      <c r="B18">
        <v>1</v>
      </c>
      <c r="C18" t="s">
        <v>51</v>
      </c>
      <c r="D18" t="s">
        <v>54</v>
      </c>
      <c r="G18">
        <v>0.81399999999999995</v>
      </c>
      <c r="H18">
        <v>0.81399999999999995</v>
      </c>
    </row>
    <row r="19" spans="1:8" x14ac:dyDescent="0.35">
      <c r="A19" t="s">
        <v>55</v>
      </c>
      <c r="B19">
        <v>1</v>
      </c>
      <c r="C19" t="s">
        <v>56</v>
      </c>
      <c r="D19" t="s">
        <v>57</v>
      </c>
      <c r="G19">
        <v>1.43</v>
      </c>
      <c r="H19">
        <v>1.43</v>
      </c>
    </row>
    <row r="20" spans="1:8" x14ac:dyDescent="0.35">
      <c r="A20" t="s">
        <v>58</v>
      </c>
      <c r="B20">
        <v>1</v>
      </c>
      <c r="C20" t="s">
        <v>59</v>
      </c>
      <c r="F20" t="s">
        <v>60</v>
      </c>
      <c r="G20">
        <v>1.67</v>
      </c>
      <c r="H20">
        <v>1.67</v>
      </c>
    </row>
    <row r="21" spans="1:8" x14ac:dyDescent="0.35">
      <c r="A21" t="s">
        <v>61</v>
      </c>
      <c r="B21">
        <v>1</v>
      </c>
      <c r="C21" t="s">
        <v>62</v>
      </c>
      <c r="D21" t="s">
        <v>63</v>
      </c>
      <c r="G21">
        <v>3.66</v>
      </c>
      <c r="H21">
        <v>3.66</v>
      </c>
    </row>
    <row r="22" spans="1:8" x14ac:dyDescent="0.35">
      <c r="A22" t="s">
        <v>64</v>
      </c>
      <c r="B22">
        <v>1</v>
      </c>
      <c r="C22" t="s">
        <v>65</v>
      </c>
      <c r="D22" t="s">
        <v>66</v>
      </c>
      <c r="G22">
        <v>1.77</v>
      </c>
      <c r="H22">
        <v>1.77</v>
      </c>
    </row>
    <row r="23" spans="1:8" x14ac:dyDescent="0.35">
      <c r="A23" t="s">
        <v>67</v>
      </c>
      <c r="B23">
        <v>1</v>
      </c>
      <c r="C23" t="s">
        <v>68</v>
      </c>
      <c r="D23" t="s">
        <v>69</v>
      </c>
      <c r="G23">
        <v>5.8000000000000003E-2</v>
      </c>
      <c r="H23">
        <v>5.8000000000000003E-2</v>
      </c>
    </row>
    <row r="24" spans="1:8" x14ac:dyDescent="0.35">
      <c r="A24" t="s">
        <v>70</v>
      </c>
      <c r="B24">
        <v>1</v>
      </c>
      <c r="C24" t="s">
        <v>71</v>
      </c>
      <c r="D24" t="s">
        <v>69</v>
      </c>
      <c r="G24">
        <v>5.8000000000000003E-2</v>
      </c>
      <c r="H24">
        <v>5.8000000000000003E-2</v>
      </c>
    </row>
    <row r="25" spans="1:8" x14ac:dyDescent="0.35">
      <c r="A25" t="s">
        <v>72</v>
      </c>
      <c r="B25">
        <v>1</v>
      </c>
      <c r="C25" t="s">
        <v>73</v>
      </c>
      <c r="D25" t="s">
        <v>74</v>
      </c>
      <c r="G25">
        <v>0.66</v>
      </c>
      <c r="H25">
        <v>0.66</v>
      </c>
    </row>
    <row r="26" spans="1:8" x14ac:dyDescent="0.35">
      <c r="A26" t="s">
        <v>75</v>
      </c>
      <c r="B26">
        <v>1</v>
      </c>
      <c r="C26" t="s">
        <v>76</v>
      </c>
      <c r="D26" t="s">
        <v>69</v>
      </c>
      <c r="G26">
        <v>5.8000000000000003E-2</v>
      </c>
      <c r="H26">
        <v>5.8000000000000003E-2</v>
      </c>
    </row>
    <row r="27" spans="1:8" x14ac:dyDescent="0.35">
      <c r="A27" t="s">
        <v>77</v>
      </c>
      <c r="B27">
        <v>1</v>
      </c>
      <c r="C27" t="s">
        <v>78</v>
      </c>
      <c r="D27" t="s">
        <v>69</v>
      </c>
      <c r="G27">
        <v>2.9000000000000001E-2</v>
      </c>
      <c r="H27">
        <v>2.9000000000000001E-2</v>
      </c>
    </row>
    <row r="28" spans="1:8" x14ac:dyDescent="0.35">
      <c r="A28" t="s">
        <v>79</v>
      </c>
      <c r="B28">
        <v>2</v>
      </c>
      <c r="C28" t="s">
        <v>80</v>
      </c>
      <c r="D28" t="s">
        <v>69</v>
      </c>
      <c r="G28">
        <v>5.8000000000000003E-2</v>
      </c>
      <c r="H28">
        <v>0.11600000000000001</v>
      </c>
    </row>
    <row r="29" spans="1:8" x14ac:dyDescent="0.35">
      <c r="A29" t="s">
        <v>81</v>
      </c>
      <c r="B29">
        <v>1</v>
      </c>
      <c r="C29" t="s">
        <v>82</v>
      </c>
      <c r="D29" t="s">
        <v>69</v>
      </c>
      <c r="G29">
        <v>5.8000000000000003E-2</v>
      </c>
      <c r="H29">
        <v>5.8000000000000003E-2</v>
      </c>
    </row>
    <row r="30" spans="1:8" x14ac:dyDescent="0.35">
      <c r="A30" t="s">
        <v>83</v>
      </c>
      <c r="B30">
        <v>1</v>
      </c>
      <c r="C30" t="s">
        <v>84</v>
      </c>
      <c r="D30" t="s">
        <v>69</v>
      </c>
      <c r="G30">
        <v>2.9000000000000001E-2</v>
      </c>
      <c r="H30">
        <v>2.9000000000000001E-2</v>
      </c>
    </row>
    <row r="31" spans="1:8" x14ac:dyDescent="0.35">
      <c r="A31" t="s">
        <v>85</v>
      </c>
      <c r="B31">
        <v>1</v>
      </c>
      <c r="C31" t="s">
        <v>86</v>
      </c>
      <c r="D31" t="s">
        <v>69</v>
      </c>
      <c r="G31">
        <v>2.9000000000000001E-2</v>
      </c>
      <c r="H31">
        <v>2.9000000000000001E-2</v>
      </c>
    </row>
    <row r="32" spans="1:8" x14ac:dyDescent="0.35">
      <c r="A32" t="s">
        <v>87</v>
      </c>
      <c r="B32">
        <v>1</v>
      </c>
      <c r="C32" t="s">
        <v>88</v>
      </c>
      <c r="D32" t="s">
        <v>69</v>
      </c>
      <c r="G32">
        <v>2.9000000000000001E-2</v>
      </c>
      <c r="H32">
        <v>2.9000000000000001E-2</v>
      </c>
    </row>
    <row r="33" spans="1:13" x14ac:dyDescent="0.35">
      <c r="A33" t="s">
        <v>89</v>
      </c>
      <c r="B33">
        <v>1</v>
      </c>
      <c r="C33" t="s">
        <v>90</v>
      </c>
      <c r="D33" t="s">
        <v>69</v>
      </c>
      <c r="G33">
        <v>1.4500000000000001E-2</v>
      </c>
      <c r="H33">
        <v>1.4500000000000001E-2</v>
      </c>
    </row>
    <row r="34" spans="1:13" x14ac:dyDescent="0.35">
      <c r="A34" t="s">
        <v>91</v>
      </c>
      <c r="B34">
        <v>1</v>
      </c>
      <c r="C34" t="s">
        <v>92</v>
      </c>
      <c r="D34" t="s">
        <v>93</v>
      </c>
      <c r="G34">
        <v>1.4</v>
      </c>
      <c r="H34">
        <v>1.4</v>
      </c>
    </row>
    <row r="35" spans="1:13" x14ac:dyDescent="0.35">
      <c r="A35" t="s">
        <v>94</v>
      </c>
      <c r="B35">
        <v>1</v>
      </c>
      <c r="C35" t="s">
        <v>95</v>
      </c>
      <c r="D35" t="s">
        <v>69</v>
      </c>
      <c r="G35">
        <v>0.14499999999999999</v>
      </c>
      <c r="H35">
        <v>0.14499999999999999</v>
      </c>
      <c r="M35" s="1"/>
    </row>
    <row r="36" spans="1:13" x14ac:dyDescent="0.35">
      <c r="A36" t="s">
        <v>96</v>
      </c>
      <c r="B36">
        <v>1</v>
      </c>
      <c r="C36" t="s">
        <v>97</v>
      </c>
      <c r="D36" t="s">
        <v>69</v>
      </c>
      <c r="G36">
        <v>5.8000000000000003E-2</v>
      </c>
      <c r="H36">
        <v>5.8000000000000003E-2</v>
      </c>
    </row>
    <row r="37" spans="1:13" x14ac:dyDescent="0.35">
      <c r="A37" t="s">
        <v>98</v>
      </c>
      <c r="B37">
        <v>1</v>
      </c>
      <c r="C37" t="s">
        <v>99</v>
      </c>
      <c r="D37" t="s">
        <v>69</v>
      </c>
      <c r="G37">
        <v>5.8000000000000003E-2</v>
      </c>
      <c r="H37">
        <v>5.8000000000000003E-2</v>
      </c>
      <c r="M37" s="1"/>
    </row>
    <row r="38" spans="1:13" x14ac:dyDescent="0.35">
      <c r="A38" t="s">
        <v>100</v>
      </c>
      <c r="B38">
        <v>1</v>
      </c>
      <c r="C38" t="s">
        <v>171</v>
      </c>
      <c r="D38" t="s">
        <v>101</v>
      </c>
      <c r="G38">
        <v>1.65</v>
      </c>
      <c r="H38">
        <v>1.65</v>
      </c>
    </row>
    <row r="39" spans="1:13" x14ac:dyDescent="0.35">
      <c r="A39" t="s">
        <v>102</v>
      </c>
      <c r="B39">
        <v>1</v>
      </c>
      <c r="C39" t="s">
        <v>103</v>
      </c>
      <c r="D39" t="s">
        <v>104</v>
      </c>
      <c r="G39">
        <v>19.07</v>
      </c>
      <c r="H39">
        <v>19.07</v>
      </c>
    </row>
    <row r="40" spans="1:13" x14ac:dyDescent="0.35">
      <c r="A40" t="s">
        <v>105</v>
      </c>
      <c r="B40">
        <v>1</v>
      </c>
      <c r="C40" t="s">
        <v>106</v>
      </c>
      <c r="F40" t="s">
        <v>107</v>
      </c>
      <c r="G40">
        <v>3.98</v>
      </c>
      <c r="H40">
        <v>3.98</v>
      </c>
    </row>
    <row r="41" spans="1:13" x14ac:dyDescent="0.35">
      <c r="A41" t="s">
        <v>108</v>
      </c>
      <c r="B41">
        <v>1</v>
      </c>
      <c r="C41" t="s">
        <v>109</v>
      </c>
      <c r="F41" t="s">
        <v>110</v>
      </c>
      <c r="G41">
        <v>9.99</v>
      </c>
      <c r="H41">
        <v>9.99</v>
      </c>
    </row>
    <row r="42" spans="1:13" x14ac:dyDescent="0.35">
      <c r="A42" t="s">
        <v>111</v>
      </c>
      <c r="B42">
        <v>1</v>
      </c>
      <c r="C42" t="s">
        <v>112</v>
      </c>
      <c r="D42" t="s">
        <v>113</v>
      </c>
      <c r="G42">
        <v>9.64</v>
      </c>
      <c r="H42">
        <v>9.64</v>
      </c>
    </row>
    <row r="43" spans="1:13" x14ac:dyDescent="0.35">
      <c r="A43" t="s">
        <v>114</v>
      </c>
      <c r="B43">
        <v>4</v>
      </c>
      <c r="C43" t="s">
        <v>170</v>
      </c>
      <c r="D43" t="s">
        <v>115</v>
      </c>
      <c r="G43">
        <v>2.8000000000000001E-2</v>
      </c>
      <c r="H43">
        <v>0.112</v>
      </c>
    </row>
    <row r="44" spans="1:13" x14ac:dyDescent="0.35">
      <c r="A44" t="s">
        <v>116</v>
      </c>
      <c r="B44">
        <v>2</v>
      </c>
      <c r="C44" t="s">
        <v>169</v>
      </c>
      <c r="D44" t="s">
        <v>117</v>
      </c>
      <c r="G44">
        <v>2.9000000000000001E-2</v>
      </c>
      <c r="H44">
        <v>5.8000000000000003E-2</v>
      </c>
    </row>
    <row r="45" spans="1:13" x14ac:dyDescent="0.35">
      <c r="A45" t="s">
        <v>118</v>
      </c>
      <c r="B45">
        <v>2</v>
      </c>
      <c r="C45" t="s">
        <v>168</v>
      </c>
      <c r="D45" t="s">
        <v>119</v>
      </c>
      <c r="G45">
        <v>2.9000000000000001E-2</v>
      </c>
      <c r="H45">
        <v>5.8000000000000003E-2</v>
      </c>
    </row>
    <row r="46" spans="1:13" x14ac:dyDescent="0.35">
      <c r="A46" t="s">
        <v>120</v>
      </c>
      <c r="B46">
        <v>2</v>
      </c>
      <c r="C46" t="s">
        <v>167</v>
      </c>
      <c r="D46" t="s">
        <v>121</v>
      </c>
      <c r="G46">
        <v>2.5999999999999999E-2</v>
      </c>
      <c r="H46">
        <v>5.1999999999999998E-2</v>
      </c>
    </row>
    <row r="47" spans="1:13" x14ac:dyDescent="0.35">
      <c r="A47" t="s">
        <v>122</v>
      </c>
      <c r="B47">
        <v>1</v>
      </c>
      <c r="C47" t="s">
        <v>166</v>
      </c>
      <c r="D47" t="s">
        <v>123</v>
      </c>
      <c r="G47">
        <v>2.9000000000000001E-2</v>
      </c>
      <c r="H47">
        <v>2.9000000000000001E-2</v>
      </c>
    </row>
    <row r="48" spans="1:13" x14ac:dyDescent="0.35">
      <c r="A48" t="s">
        <v>124</v>
      </c>
      <c r="B48">
        <v>1</v>
      </c>
      <c r="C48" t="s">
        <v>165</v>
      </c>
      <c r="D48" t="s">
        <v>125</v>
      </c>
      <c r="G48">
        <v>2.9000000000000001E-2</v>
      </c>
      <c r="H48">
        <v>2.9000000000000001E-2</v>
      </c>
    </row>
    <row r="49" spans="1:8" x14ac:dyDescent="0.35">
      <c r="A49" t="s">
        <v>126</v>
      </c>
      <c r="B49">
        <v>1</v>
      </c>
      <c r="C49" t="s">
        <v>164</v>
      </c>
      <c r="D49" t="s">
        <v>127</v>
      </c>
      <c r="G49">
        <v>2.7E-2</v>
      </c>
      <c r="H49">
        <v>2.7E-2</v>
      </c>
    </row>
    <row r="50" spans="1:8" x14ac:dyDescent="0.35">
      <c r="A50" t="s">
        <v>128</v>
      </c>
      <c r="B50">
        <v>1</v>
      </c>
      <c r="C50" t="s">
        <v>163</v>
      </c>
      <c r="D50" t="s">
        <v>129</v>
      </c>
      <c r="G50">
        <v>2.9000000000000001E-2</v>
      </c>
      <c r="H50">
        <v>2.9000000000000001E-2</v>
      </c>
    </row>
    <row r="51" spans="1:8" x14ac:dyDescent="0.35">
      <c r="A51" t="s">
        <v>130</v>
      </c>
      <c r="B51">
        <v>1</v>
      </c>
      <c r="C51" t="s">
        <v>162</v>
      </c>
      <c r="D51" t="s">
        <v>131</v>
      </c>
      <c r="G51">
        <v>1.46</v>
      </c>
      <c r="H51">
        <v>1.46</v>
      </c>
    </row>
    <row r="52" spans="1:8" x14ac:dyDescent="0.35">
      <c r="A52" t="s">
        <v>132</v>
      </c>
      <c r="B52">
        <v>1</v>
      </c>
      <c r="C52" t="s">
        <v>161</v>
      </c>
      <c r="D52" t="s">
        <v>133</v>
      </c>
      <c r="G52">
        <v>2.9000000000000001E-2</v>
      </c>
      <c r="H52">
        <v>2.9000000000000001E-2</v>
      </c>
    </row>
    <row r="53" spans="1:8" x14ac:dyDescent="0.35">
      <c r="A53" t="s">
        <v>134</v>
      </c>
      <c r="B53">
        <v>1</v>
      </c>
      <c r="C53" t="s">
        <v>135</v>
      </c>
      <c r="D53" t="s">
        <v>136</v>
      </c>
      <c r="G53">
        <v>0.186</v>
      </c>
      <c r="H53">
        <v>0.186</v>
      </c>
    </row>
    <row r="54" spans="1:8" x14ac:dyDescent="0.35">
      <c r="A54" t="s">
        <v>137</v>
      </c>
      <c r="B54">
        <v>1</v>
      </c>
      <c r="C54" t="s">
        <v>138</v>
      </c>
      <c r="D54" t="s">
        <v>139</v>
      </c>
      <c r="G54">
        <v>1.21</v>
      </c>
      <c r="H54">
        <v>1.21</v>
      </c>
    </row>
    <row r="55" spans="1:8" x14ac:dyDescent="0.35">
      <c r="A55" t="s">
        <v>140</v>
      </c>
      <c r="B55">
        <v>1</v>
      </c>
      <c r="C55" t="s">
        <v>141</v>
      </c>
      <c r="E55" t="s">
        <v>142</v>
      </c>
      <c r="G55">
        <v>6.04</v>
      </c>
      <c r="H55">
        <v>6.04</v>
      </c>
    </row>
    <row r="56" spans="1:8" x14ac:dyDescent="0.35">
      <c r="A56" t="s">
        <v>143</v>
      </c>
      <c r="B56">
        <v>1</v>
      </c>
      <c r="C56" t="s">
        <v>144</v>
      </c>
      <c r="D56" t="s">
        <v>145</v>
      </c>
      <c r="G56">
        <v>4.5</v>
      </c>
      <c r="H56">
        <v>4.5</v>
      </c>
    </row>
    <row r="57" spans="1:8" x14ac:dyDescent="0.35">
      <c r="A57" t="s">
        <v>146</v>
      </c>
      <c r="B57">
        <v>1</v>
      </c>
      <c r="C57" t="s">
        <v>147</v>
      </c>
      <c r="D57" t="s">
        <v>148</v>
      </c>
      <c r="G57">
        <v>8.76</v>
      </c>
      <c r="H57">
        <v>8.76</v>
      </c>
    </row>
    <row r="58" spans="1:8" x14ac:dyDescent="0.35">
      <c r="A58" t="s">
        <v>149</v>
      </c>
      <c r="B58">
        <v>1</v>
      </c>
      <c r="C58" t="s">
        <v>150</v>
      </c>
      <c r="F58" t="s">
        <v>151</v>
      </c>
      <c r="G58">
        <v>5.66</v>
      </c>
      <c r="H58">
        <v>5.66</v>
      </c>
    </row>
    <row r="59" spans="1:8" x14ac:dyDescent="0.35">
      <c r="A59" t="s">
        <v>152</v>
      </c>
      <c r="B59">
        <v>1</v>
      </c>
      <c r="C59" t="s">
        <v>153</v>
      </c>
      <c r="E59" t="s">
        <v>154</v>
      </c>
      <c r="G59">
        <v>1.29</v>
      </c>
      <c r="H59">
        <v>1.29</v>
      </c>
    </row>
    <row r="60" spans="1:8" x14ac:dyDescent="0.35">
      <c r="A60" t="s">
        <v>155</v>
      </c>
      <c r="B60">
        <v>1</v>
      </c>
      <c r="C60" t="s">
        <v>156</v>
      </c>
      <c r="D60" t="s">
        <v>157</v>
      </c>
      <c r="G60">
        <v>0.32</v>
      </c>
      <c r="H60">
        <v>0.32</v>
      </c>
    </row>
    <row r="61" spans="1:8" x14ac:dyDescent="0.35">
      <c r="A61" t="s">
        <v>158</v>
      </c>
      <c r="B61">
        <v>1</v>
      </c>
      <c r="C61" t="s">
        <v>159</v>
      </c>
      <c r="D61" t="s">
        <v>157</v>
      </c>
      <c r="G61">
        <v>0.32</v>
      </c>
      <c r="H61">
        <v>0.32</v>
      </c>
    </row>
    <row r="62" spans="1:8" x14ac:dyDescent="0.35">
      <c r="A62" t="s">
        <v>160</v>
      </c>
      <c r="H62">
        <f>SUBTOTAL(109,Table1[Line Price])</f>
        <v>101.14849999999998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WattMeter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2025-12-10T12:24:35Z</dcterms:created>
  <dcterms:modified xsi:type="dcterms:W3CDTF">2025-12-10T12:24:35Z</dcterms:modified>
</cp:coreProperties>
</file>